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OneDrive\Desktop\"/>
    </mc:Choice>
  </mc:AlternateContent>
  <xr:revisionPtr revIDLastSave="0" documentId="13_ncr:40009_{C4255697-ABEC-4975-8D82-61E89FA5F6E0}" xr6:coauthVersionLast="45" xr6:coauthVersionMax="45" xr10:uidLastSave="{00000000-0000-0000-0000-000000000000}"/>
  <bookViews>
    <workbookView xWindow="-120" yWindow="-120" windowWidth="38640" windowHeight="21240"/>
  </bookViews>
  <sheets>
    <sheet name="myLinearRegression" sheetId="1" r:id="rId1"/>
  </sheets>
  <calcPr calcId="0"/>
</workbook>
</file>

<file path=xl/calcChain.xml><?xml version="1.0" encoding="utf-8"?>
<calcChain xmlns="http://schemas.openxmlformats.org/spreadsheetml/2006/main">
  <c r="H22" i="1" l="1"/>
  <c r="H21" i="1"/>
  <c r="H20" i="1"/>
  <c r="C19" i="1"/>
  <c r="B19" i="1"/>
</calcChain>
</file>

<file path=xl/sharedStrings.xml><?xml version="1.0" encoding="utf-8"?>
<sst xmlns="http://schemas.openxmlformats.org/spreadsheetml/2006/main" count="8" uniqueCount="8">
  <si>
    <t>Year</t>
  </si>
  <si>
    <t>Interest rate</t>
  </si>
  <si>
    <t>Median home price</t>
  </si>
  <si>
    <t>Average</t>
  </si>
  <si>
    <t>Mortgage interest rates and home price</t>
  </si>
  <si>
    <t>R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</si>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</sst>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i/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 applyAlignment="1">
      <alignment vertical="center"/>
    </xf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Mortgage interest rates and home price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762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045494313210851E-2"/>
                  <c:y val="-0.372456984543598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myLinearRegression!$B$3:$B$18</c:f>
              <c:numCache>
                <c:formatCode>General</c:formatCode>
                <c:ptCount val="16"/>
                <c:pt idx="0">
                  <c:v>10.3</c:v>
                </c:pt>
                <c:pt idx="1">
                  <c:v>10.3</c:v>
                </c:pt>
                <c:pt idx="2">
                  <c:v>10.1</c:v>
                </c:pt>
                <c:pt idx="3">
                  <c:v>9.3000000000000007</c:v>
                </c:pt>
                <c:pt idx="4">
                  <c:v>8.4</c:v>
                </c:pt>
                <c:pt idx="5">
                  <c:v>7.3</c:v>
                </c:pt>
                <c:pt idx="6">
                  <c:v>8.4</c:v>
                </c:pt>
                <c:pt idx="7">
                  <c:v>7.9</c:v>
                </c:pt>
                <c:pt idx="8">
                  <c:v>7.6</c:v>
                </c:pt>
                <c:pt idx="9">
                  <c:v>7.6</c:v>
                </c:pt>
                <c:pt idx="10">
                  <c:v>6.9</c:v>
                </c:pt>
                <c:pt idx="11">
                  <c:v>7.4</c:v>
                </c:pt>
                <c:pt idx="12">
                  <c:v>8.1</c:v>
                </c:pt>
                <c:pt idx="13">
                  <c:v>7</c:v>
                </c:pt>
                <c:pt idx="14">
                  <c:v>6.5</c:v>
                </c:pt>
                <c:pt idx="15">
                  <c:v>5.8</c:v>
                </c:pt>
              </c:numCache>
            </c:numRef>
          </c:xVal>
          <c:yVal>
            <c:numRef>
              <c:f>myLinearRegression!$C$3:$C$18</c:f>
              <c:numCache>
                <c:formatCode>General</c:formatCode>
                <c:ptCount val="16"/>
                <c:pt idx="0">
                  <c:v>183000</c:v>
                </c:pt>
                <c:pt idx="1">
                  <c:v>183200</c:v>
                </c:pt>
                <c:pt idx="2">
                  <c:v>174900</c:v>
                </c:pt>
                <c:pt idx="3">
                  <c:v>173500</c:v>
                </c:pt>
                <c:pt idx="4">
                  <c:v>172900</c:v>
                </c:pt>
                <c:pt idx="5">
                  <c:v>173200</c:v>
                </c:pt>
                <c:pt idx="6">
                  <c:v>173200</c:v>
                </c:pt>
                <c:pt idx="7">
                  <c:v>169700</c:v>
                </c:pt>
                <c:pt idx="8">
                  <c:v>174500</c:v>
                </c:pt>
                <c:pt idx="9">
                  <c:v>177900</c:v>
                </c:pt>
                <c:pt idx="10">
                  <c:v>188100</c:v>
                </c:pt>
                <c:pt idx="11">
                  <c:v>203200</c:v>
                </c:pt>
                <c:pt idx="12">
                  <c:v>230200</c:v>
                </c:pt>
                <c:pt idx="13">
                  <c:v>258200</c:v>
                </c:pt>
                <c:pt idx="14">
                  <c:v>309800</c:v>
                </c:pt>
                <c:pt idx="15">
                  <c:v>329800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3-4971-8262-640F6EF3A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905967"/>
        <c:axId val="1684662879"/>
      </c:scatterChart>
      <c:valAx>
        <c:axId val="1386905967"/>
        <c:scaling>
          <c:orientation val="minMax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Interest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662879"/>
        <c:crosses val="autoZero"/>
        <c:crossBetween val="midCat"/>
      </c:valAx>
      <c:valAx>
        <c:axId val="1684662879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home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90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90487</xdr:rowOff>
    </xdr:from>
    <xdr:to>
      <xdr:col>11</xdr:col>
      <xdr:colOff>457200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0CB68-B058-42AF-9E70-7A3E594A0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K24" sqref="K24"/>
    </sheetView>
  </sheetViews>
  <sheetFormatPr defaultRowHeight="15.75" x14ac:dyDescent="0.25"/>
  <cols>
    <col min="1" max="1" width="9.140625" style="1"/>
    <col min="2" max="2" width="12" style="1" bestFit="1" customWidth="1"/>
    <col min="3" max="3" width="18.42578125" style="1" bestFit="1" customWidth="1"/>
    <col min="4" max="7" width="9.140625" style="1"/>
    <col min="8" max="8" width="14.85546875" style="1" bestFit="1" customWidth="1"/>
    <col min="9" max="16384" width="9.140625" style="1"/>
  </cols>
  <sheetData>
    <row r="1" spans="1:3" x14ac:dyDescent="0.25">
      <c r="A1" s="2" t="s">
        <v>4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>
        <v>1988</v>
      </c>
      <c r="B3" s="1">
        <v>10.3</v>
      </c>
      <c r="C3" s="1">
        <v>183000</v>
      </c>
    </row>
    <row r="4" spans="1:3" x14ac:dyDescent="0.25">
      <c r="A4" s="1">
        <v>1989</v>
      </c>
      <c r="B4" s="1">
        <v>10.3</v>
      </c>
      <c r="C4" s="1">
        <v>183200</v>
      </c>
    </row>
    <row r="5" spans="1:3" x14ac:dyDescent="0.25">
      <c r="A5" s="1">
        <v>1990</v>
      </c>
      <c r="B5" s="1">
        <v>10.1</v>
      </c>
      <c r="C5" s="1">
        <v>174900</v>
      </c>
    </row>
    <row r="6" spans="1:3" x14ac:dyDescent="0.25">
      <c r="A6" s="1">
        <v>1991</v>
      </c>
      <c r="B6" s="1">
        <v>9.3000000000000007</v>
      </c>
      <c r="C6" s="1">
        <v>173500</v>
      </c>
    </row>
    <row r="7" spans="1:3" x14ac:dyDescent="0.25">
      <c r="A7" s="1">
        <v>1992</v>
      </c>
      <c r="B7" s="1">
        <v>8.4</v>
      </c>
      <c r="C7" s="1">
        <v>172900</v>
      </c>
    </row>
    <row r="8" spans="1:3" x14ac:dyDescent="0.25">
      <c r="A8" s="1">
        <v>1993</v>
      </c>
      <c r="B8" s="1">
        <v>7.3</v>
      </c>
      <c r="C8" s="1">
        <v>173200</v>
      </c>
    </row>
    <row r="9" spans="1:3" x14ac:dyDescent="0.25">
      <c r="A9" s="1">
        <v>1994</v>
      </c>
      <c r="B9" s="1">
        <v>8.4</v>
      </c>
      <c r="C9" s="1">
        <v>173200</v>
      </c>
    </row>
    <row r="10" spans="1:3" x14ac:dyDescent="0.25">
      <c r="A10" s="1">
        <v>1995</v>
      </c>
      <c r="B10" s="1">
        <v>7.9</v>
      </c>
      <c r="C10" s="1">
        <v>169700</v>
      </c>
    </row>
    <row r="11" spans="1:3" x14ac:dyDescent="0.25">
      <c r="A11" s="1">
        <v>1996</v>
      </c>
      <c r="B11" s="1">
        <v>7.6</v>
      </c>
      <c r="C11" s="1">
        <v>174500</v>
      </c>
    </row>
    <row r="12" spans="1:3" x14ac:dyDescent="0.25">
      <c r="A12" s="1">
        <v>1997</v>
      </c>
      <c r="B12" s="1">
        <v>7.6</v>
      </c>
      <c r="C12" s="1">
        <v>177900</v>
      </c>
    </row>
    <row r="13" spans="1:3" x14ac:dyDescent="0.25">
      <c r="A13" s="1">
        <v>1998</v>
      </c>
      <c r="B13" s="1">
        <v>6.9</v>
      </c>
      <c r="C13" s="1">
        <v>188100</v>
      </c>
    </row>
    <row r="14" spans="1:3" x14ac:dyDescent="0.25">
      <c r="A14" s="1">
        <v>1999</v>
      </c>
      <c r="B14" s="1">
        <v>7.4</v>
      </c>
      <c r="C14" s="1">
        <v>203200</v>
      </c>
    </row>
    <row r="15" spans="1:3" x14ac:dyDescent="0.25">
      <c r="A15" s="1">
        <v>2000</v>
      </c>
      <c r="B15" s="1">
        <v>8.1</v>
      </c>
      <c r="C15" s="1">
        <v>230200</v>
      </c>
    </row>
    <row r="16" spans="1:3" x14ac:dyDescent="0.25">
      <c r="A16" s="1">
        <v>2001</v>
      </c>
      <c r="B16" s="1">
        <v>7</v>
      </c>
      <c r="C16" s="1">
        <v>258200</v>
      </c>
    </row>
    <row r="17" spans="1:8" x14ac:dyDescent="0.25">
      <c r="A17" s="1">
        <v>2002</v>
      </c>
      <c r="B17" s="1">
        <v>6.5</v>
      </c>
      <c r="C17" s="1">
        <v>309800</v>
      </c>
    </row>
    <row r="18" spans="1:8" x14ac:dyDescent="0.25">
      <c r="A18" s="1">
        <v>2003</v>
      </c>
      <c r="B18" s="1">
        <v>5.8</v>
      </c>
      <c r="C18" s="1">
        <v>329800</v>
      </c>
    </row>
    <row r="19" spans="1:8" x14ac:dyDescent="0.25">
      <c r="A19" s="1" t="s">
        <v>3</v>
      </c>
      <c r="B19" s="1">
        <f>AVERAGE(B3:B18)</f>
        <v>8.0562500000000004</v>
      </c>
      <c r="C19" s="1">
        <f>AVERAGE(C3:C18)</f>
        <v>204706.25</v>
      </c>
    </row>
    <row r="20" spans="1:8" x14ac:dyDescent="0.25">
      <c r="G20" s="3" t="s">
        <v>5</v>
      </c>
      <c r="H20" s="3">
        <f>CORREL(B3:B18,C3:C18)</f>
        <v>-0.62161911286936855</v>
      </c>
    </row>
    <row r="21" spans="1:8" x14ac:dyDescent="0.25">
      <c r="G21" s="3" t="s">
        <v>6</v>
      </c>
      <c r="H21" s="3">
        <f>SLOPE(C3:C18,B3:B18)</f>
        <v>-23474.865043391106</v>
      </c>
    </row>
    <row r="22" spans="1:8" x14ac:dyDescent="0.25">
      <c r="G22" s="3" t="s">
        <v>7</v>
      </c>
      <c r="H22" s="3">
        <f>INTERCEPT(C3:C18,B3:B18)</f>
        <v>393825.63150581962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myLinearRegression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Pham</dc:creator>
  <cp:lastModifiedBy>Michael Pham</cp:lastModifiedBy>
  <dcterms:created xsi:type="dcterms:W3CDTF">2020-04-18T04:33:02Z</dcterms:created>
  <dcterms:modified xsi:type="dcterms:W3CDTF">2020-04-18T04:42:22Z</dcterms:modified>
</cp:coreProperties>
</file>